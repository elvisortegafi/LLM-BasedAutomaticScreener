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c0-my.sharepoint.com/personal/egortega_uoc_edu/Documents/UOC/PhD_Ortega_E/systematic_literature_review_artificial_agents_emotion_regulation/automated_app_reviews/src/"/>
    </mc:Choice>
  </mc:AlternateContent>
  <xr:revisionPtr revIDLastSave="52" documentId="13_ncr:1_{8CBF9EA9-A1B8-45C9-B23A-9EB7495DE93D}" xr6:coauthVersionLast="47" xr6:coauthVersionMax="47" xr10:uidLastSave="{27FB9663-17C9-44B9-97ED-B18A50CA0149}"/>
  <bookViews>
    <workbookView xWindow="-108" yWindow="-108" windowWidth="23256" windowHeight="12456" xr2:uid="{4518B3E3-3D5F-4CFF-BA60-B98C1C3356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9" i="1"/>
  <c r="I11" i="1"/>
  <c r="H11" i="1"/>
  <c r="B14" i="1"/>
  <c r="B13" i="1"/>
  <c r="B12" i="1"/>
  <c r="D11" i="1"/>
  <c r="C11" i="1"/>
  <c r="B11" i="1"/>
  <c r="D10" i="1"/>
  <c r="D9" i="1"/>
  <c r="H13" i="1" l="1"/>
  <c r="H12" i="1"/>
  <c r="H14" i="1" s="1"/>
</calcChain>
</file>

<file path=xl/sharedStrings.xml><?xml version="1.0" encoding="utf-8"?>
<sst xmlns="http://schemas.openxmlformats.org/spreadsheetml/2006/main" count="34" uniqueCount="19">
  <si>
    <t>Cohen's Kappa</t>
  </si>
  <si>
    <t>NOA</t>
  </si>
  <si>
    <t>Fair Agreement</t>
  </si>
  <si>
    <t>SSRI</t>
  </si>
  <si>
    <t>Moderate Agreement</t>
  </si>
  <si>
    <t>IVM</t>
  </si>
  <si>
    <t>Substantial Agreement</t>
  </si>
  <si>
    <t>LPVR</t>
  </si>
  <si>
    <t>RAYNAUDS</t>
  </si>
  <si>
    <t>Near Perfect Agreement</t>
  </si>
  <si>
    <t>Human 1 - Automatic Screener</t>
  </si>
  <si>
    <t>Human 2 - Automatic Screener (30%)</t>
  </si>
  <si>
    <t>Excluded</t>
  </si>
  <si>
    <t>Included</t>
  </si>
  <si>
    <t>Totals</t>
  </si>
  <si>
    <t>Observed Agreement</t>
  </si>
  <si>
    <t>Expected Agreement</t>
  </si>
  <si>
    <t xml:space="preserve">Cohen's Kappa </t>
  </si>
  <si>
    <t>37.85 euros (gpt-4 only not consuming gpt-4-turbo)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</si>
</sst>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2E13-A122-426F-B47F-66558A972E9E}">
  <dimension ref="A1:J15"/>
  <sheetViews>
    <sheetView tabSelected="1" workbookViewId="0">
      <selection activeCell="J12" sqref="J12"/>
    </sheetView>
  </sheetViews>
  <sheetFormatPr defaultRowHeight="14.45"/>
  <cols>
    <col min="1" max="1" width="10.85546875" customWidth="1"/>
    <col min="2" max="2" width="13.5703125" customWidth="1"/>
  </cols>
  <sheetData>
    <row r="1" spans="1:10">
      <c r="A1" s="1" t="s">
        <v>0</v>
      </c>
    </row>
    <row r="2" spans="1:10">
      <c r="A2" t="s">
        <v>1</v>
      </c>
      <c r="B2">
        <v>0.35</v>
      </c>
      <c r="C2" t="s">
        <v>2</v>
      </c>
    </row>
    <row r="3" spans="1:10">
      <c r="A3" t="s">
        <v>3</v>
      </c>
      <c r="B3">
        <v>0.57999999999999996</v>
      </c>
      <c r="C3" t="s">
        <v>4</v>
      </c>
    </row>
    <row r="4" spans="1:10">
      <c r="A4" t="s">
        <v>5</v>
      </c>
      <c r="B4" s="2">
        <v>0.72</v>
      </c>
      <c r="C4" t="s">
        <v>6</v>
      </c>
    </row>
    <row r="5" spans="1:10">
      <c r="A5" t="s">
        <v>7</v>
      </c>
      <c r="B5">
        <v>0.51</v>
      </c>
      <c r="C5" t="s">
        <v>4</v>
      </c>
    </row>
    <row r="6" spans="1:10">
      <c r="A6" t="s">
        <v>8</v>
      </c>
      <c r="B6">
        <v>0.91</v>
      </c>
      <c r="C6" t="s">
        <v>9</v>
      </c>
    </row>
    <row r="7" spans="1:10" ht="15">
      <c r="A7" s="1" t="s">
        <v>10</v>
      </c>
      <c r="G7" s="1" t="s">
        <v>11</v>
      </c>
    </row>
    <row r="8" spans="1:10" ht="15">
      <c r="B8" t="s">
        <v>12</v>
      </c>
      <c r="C8" t="s">
        <v>13</v>
      </c>
      <c r="D8" t="s">
        <v>14</v>
      </c>
      <c r="H8" t="s">
        <v>12</v>
      </c>
      <c r="I8" t="s">
        <v>13</v>
      </c>
      <c r="J8" t="s">
        <v>14</v>
      </c>
    </row>
    <row r="9" spans="1:10" ht="15">
      <c r="A9" t="s">
        <v>12</v>
      </c>
      <c r="B9">
        <v>1282</v>
      </c>
      <c r="C9">
        <v>46</v>
      </c>
      <c r="D9">
        <f>SUM(B9:C9)</f>
        <v>1328</v>
      </c>
      <c r="G9" t="s">
        <v>12</v>
      </c>
      <c r="H9">
        <v>386</v>
      </c>
      <c r="I9">
        <v>15</v>
      </c>
      <c r="J9">
        <f>SUM(H9:I9)</f>
        <v>401</v>
      </c>
    </row>
    <row r="10" spans="1:10" ht="15">
      <c r="A10" t="s">
        <v>13</v>
      </c>
      <c r="B10">
        <v>18</v>
      </c>
      <c r="C10">
        <v>30</v>
      </c>
      <c r="D10">
        <f>SUM(B10:C10)</f>
        <v>48</v>
      </c>
      <c r="G10" t="s">
        <v>13</v>
      </c>
      <c r="H10">
        <v>4</v>
      </c>
      <c r="I10">
        <v>8</v>
      </c>
      <c r="J10">
        <f>SUM(H10:I10)</f>
        <v>12</v>
      </c>
    </row>
    <row r="11" spans="1:10" ht="15">
      <c r="A11" t="s">
        <v>14</v>
      </c>
      <c r="B11">
        <f>SUM(B9:B10)</f>
        <v>1300</v>
      </c>
      <c r="C11">
        <f>SUM(C9:C10)</f>
        <v>76</v>
      </c>
      <c r="D11">
        <f>SUM(B9:C10)</f>
        <v>1376</v>
      </c>
      <c r="G11" t="s">
        <v>14</v>
      </c>
      <c r="H11">
        <f>SUM(H9:H10)</f>
        <v>390</v>
      </c>
      <c r="I11">
        <f>SUM(I9:I10)</f>
        <v>23</v>
      </c>
      <c r="J11">
        <f>SUM(H9:I10)</f>
        <v>413</v>
      </c>
    </row>
    <row r="12" spans="1:10" ht="15">
      <c r="A12" t="s">
        <v>15</v>
      </c>
      <c r="B12">
        <f>(B9+C10)/D11</f>
        <v>0.95348837209302328</v>
      </c>
      <c r="G12" t="s">
        <v>15</v>
      </c>
      <c r="H12">
        <f>(H9+I10)/J11</f>
        <v>0.95399515738498786</v>
      </c>
    </row>
    <row r="13" spans="1:10" ht="15">
      <c r="A13" t="s">
        <v>16</v>
      </c>
      <c r="B13">
        <f>((B9+C9)/D11) * ((B9+B10)/D11)+((B10+C10)/D11) * ((C9+C10)/D11)</f>
        <v>0.91373715521903742</v>
      </c>
      <c r="G13" t="s">
        <v>16</v>
      </c>
      <c r="H13">
        <f>((H9+I9)/J11) * ((H9+H10)/J11)+((H10+I10)/J11) * ((I9+I10)/J11)</f>
        <v>0.91849046426959169</v>
      </c>
    </row>
    <row r="14" spans="1:10" ht="15">
      <c r="A14" t="s">
        <v>17</v>
      </c>
      <c r="B14">
        <f>(B12-B13)/(1-B13)</f>
        <v>0.46081504702194326</v>
      </c>
      <c r="C14" t="s">
        <v>4</v>
      </c>
      <c r="G14" t="s">
        <v>17</v>
      </c>
      <c r="H14">
        <f>(H12-H13)/(1-H13)</f>
        <v>0.43558944112781434</v>
      </c>
      <c r="I14" t="s">
        <v>4</v>
      </c>
    </row>
    <row r="15" spans="1:10" ht="15">
      <c r="B15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Jiawen Deng</dc:creator>
  <cp:keywords/>
  <dc:description/>
  <cp:lastModifiedBy>Elvis Gerardo Ortega Ochoa</cp:lastModifiedBy>
  <cp:revision/>
  <dcterms:created xsi:type="dcterms:W3CDTF">2023-04-09T02:55:31Z</dcterms:created>
  <dcterms:modified xsi:type="dcterms:W3CDTF">2024-06-13T01:11:58Z</dcterms:modified>
  <cp:category/>
  <cp:contentStatus/>
</cp:coreProperties>
</file>